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b3eadc3ad55a5/Documentos/WORKSPACE/Projeto_PI/"/>
    </mc:Choice>
  </mc:AlternateContent>
  <xr:revisionPtr revIDLastSave="197" documentId="8_{9CD93980-0691-4653-9D4A-2A1F8E334B19}" xr6:coauthVersionLast="47" xr6:coauthVersionMax="47" xr10:uidLastSave="{7236ED1C-C264-43F1-8803-4A236BD2778E}"/>
  <bookViews>
    <workbookView xWindow="-108" yWindow="-108" windowWidth="23256" windowHeight="12456" activeTab="2" xr2:uid="{56048D70-81B9-42BF-B0A9-A46E6E034907}"/>
  </bookViews>
  <sheets>
    <sheet name="Informações pontos" sheetId="1" r:id="rId1"/>
    <sheet name="Referências" sheetId="2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3" i="3"/>
  <c r="E2" i="3" s="1"/>
  <c r="F15" i="1"/>
  <c r="F14" i="1"/>
  <c r="F3" i="1"/>
  <c r="F4" i="1"/>
  <c r="F5" i="1"/>
  <c r="F6" i="1"/>
  <c r="F7" i="1"/>
  <c r="F8" i="1"/>
  <c r="F9" i="1"/>
  <c r="F10" i="1"/>
  <c r="F11" i="1"/>
  <c r="F12" i="1"/>
  <c r="F13" i="1"/>
  <c r="F2" i="1"/>
  <c r="D2" i="1"/>
  <c r="D5" i="1" s="1"/>
  <c r="D4" i="1"/>
</calcChain>
</file>

<file path=xl/sharedStrings.xml><?xml version="1.0" encoding="utf-8"?>
<sst xmlns="http://schemas.openxmlformats.org/spreadsheetml/2006/main" count="106" uniqueCount="83">
  <si>
    <t>Cristo de Trem</t>
  </si>
  <si>
    <t>CUSTO</t>
  </si>
  <si>
    <t>PASSEIO</t>
  </si>
  <si>
    <t>PONTO MAPA</t>
  </si>
  <si>
    <t>SCORE</t>
  </si>
  <si>
    <t>TEMPO (min)</t>
  </si>
  <si>
    <t>AquaRio</t>
  </si>
  <si>
    <t>Jardim Botânico</t>
  </si>
  <si>
    <t>CCBB</t>
  </si>
  <si>
    <t>Museu do Amanhã</t>
  </si>
  <si>
    <t>Pão de Açúcar</t>
  </si>
  <si>
    <t>Theatro Municipal</t>
  </si>
  <si>
    <t>Lagoa Rodrigo de Freitas</t>
  </si>
  <si>
    <t>Mosteiro São Bento</t>
  </si>
  <si>
    <t>Forte de Copacabana</t>
  </si>
  <si>
    <t>https://www.tremdocorcovado.rio/</t>
  </si>
  <si>
    <t>https://ccbb.com.br/rio-de-janeiro/normas-de-visitacao/#:~:text=O%20CCBB%20funciona%20de%209h,9h%20para%20o%20p%C3%BAblico%20geral.</t>
  </si>
  <si>
    <t>https://jbrj.eleventickets.com/#!/home (simulação de compra visita guiada a pé)</t>
  </si>
  <si>
    <t>https://museudoamanha.org.br/pt-br/ingressos-e-gratuidades</t>
  </si>
  <si>
    <t>ingressos https://bondinho.com.br/ingresso/bilhete-bondinho-bilh</t>
  </si>
  <si>
    <t>http://theatromunicipal.rj.gov.br/tmrj-segue-de-portas-abertas-em-janeiro-confira-os-dias-e-horarios-da-visita-guiada/</t>
  </si>
  <si>
    <t>https://ingressos.aquariomarinhodorio.com.br/produto/7643?divisao=0</t>
  </si>
  <si>
    <t>https://www.viciadaemviajar.com/o-que-fazer-na-lagoa-rodrigo-de-freitas/</t>
  </si>
  <si>
    <t>https://riotur.rio/que_fazer/bondinho-de-santa-teresa/</t>
  </si>
  <si>
    <t>Bondinho da Lapa, St Teresa  escadaria</t>
  </si>
  <si>
    <t>https://www.riocidademaravilhosa.com.br/oquefazer/fortes/copacabana/#:~:text=Atualmente%20o%20Forte%20oferece%20um,C%C3%BApula%20dos%20Canh%C3%B5es%2C%20al%C3%A9m%20da</t>
  </si>
  <si>
    <t>Bioparque do Rio</t>
  </si>
  <si>
    <t>https://ingressos.bioparquedorio.com.br/</t>
  </si>
  <si>
    <t>Nivel Int</t>
  </si>
  <si>
    <t>Estação Cosme Velho, R. Cosme Velho, 513 - Cosme Velho, Rio de Janeiro - RJ, 22241-091</t>
  </si>
  <si>
    <t>Jardim Botânico do Rio de Janeiro - R. Jardim Botânico, 1008 - Jardim Botânico, Rio de Janeiro - RJ, 22460-030</t>
  </si>
  <si>
    <t>Centro Cultural Banco do Brasil (CCBB) - R. Primeiro de Março, 66 - Centro, Rio de Janeiro - RJ, 20010-000</t>
  </si>
  <si>
    <t>Museu do Amanhã, Praça Mauá, 1 - Centro, Rio de Janeiro - RJ, 20081-240</t>
  </si>
  <si>
    <t>Parque Bondinho Pão de Açúcar, Av. Pasteur, 520 - Urca, Rio de Janeiro - RJ, 22290-240</t>
  </si>
  <si>
    <t>AquaRio, Praça Muhammad Ali - Via Binário do Porto, s/n - Gamboa, Rio de Janeiro - RJ, 20220-360</t>
  </si>
  <si>
    <t>Theatro Municipal do Rio de Janeiro, Praça Floriano, S/N - Centro, Rio de Janeiro - RJ, 20031-050</t>
  </si>
  <si>
    <t>Parque dos Patins, Av. Borges de Medeiros, s/n - Lagoa, Rio de Janeiro - RJ, 22470-002</t>
  </si>
  <si>
    <t>Mosteiro de São Bento, R. Dom Gerardo, 68 - Centro, Rio de Janeiro - RJ, 20090-030</t>
  </si>
  <si>
    <t>Estação de Bondes de Santa Teresa, R. Lélio Gama, s/n - Centro, Rio de Janeiro - RJ, 20031-080</t>
  </si>
  <si>
    <t>Forte de Copacabana (Museu Histórico do Exército e Forte de Copacabana), Praça Cel. Eugênio Franco, 1, Posto 6 - Copacabana, Rio de Janeiro - RJ, 22070-020</t>
  </si>
  <si>
    <t>BioParque do Rio, Parque da Quinta da Boa Vista S/N - São Cristóvão, Rio de Janeiro - RJ, 20940-040</t>
  </si>
  <si>
    <t>Maracanã</t>
  </si>
  <si>
    <t>Av. Pres. Castelo Branco, S/N - Portão 2 - Maracanã, Rio de Janeiro - RJ, 20271-130</t>
  </si>
  <si>
    <t>https://maracanatour.eleventickets.com/pt/produto/tour-do-maracana</t>
  </si>
  <si>
    <t>https://www.riocardmais.com.br/Tarifas</t>
  </si>
  <si>
    <t>https://www.mosteirodesaobentorio.org.br/</t>
  </si>
  <si>
    <t>TARIFAS TRANSPORTE RIO DE JANEIRO</t>
  </si>
  <si>
    <t>FONTE</t>
  </si>
  <si>
    <t>Ônibus</t>
  </si>
  <si>
    <t>Mertrô</t>
  </si>
  <si>
    <t>Valores e tempo estimados de passeios</t>
  </si>
  <si>
    <t>Bondinho da Lapa + St Teresa + Escadaria</t>
  </si>
  <si>
    <t>Ponto</t>
  </si>
  <si>
    <t>Fonte</t>
  </si>
  <si>
    <t>Cristo Redentor (trem)</t>
  </si>
  <si>
    <t>Fontes de dados para estimativas de preço e tempo de visita em conjunto com TripAdvisor</t>
  </si>
  <si>
    <t>estimativa de score via chatGPT</t>
  </si>
  <si>
    <t>"Praia Shopping - Praia de Botafogo, 400 - 8º andar - Botafogo, Rio de Janeiro - RJ, 22250-910"</t>
  </si>
  <si>
    <t>-</t>
  </si>
  <si>
    <t>Restaurante Spesso</t>
  </si>
  <si>
    <t>https://www.instagram.com/spesso.rio/</t>
  </si>
  <si>
    <t>Cristo Redentor</t>
  </si>
  <si>
    <t xml:space="preserve">Theatro Municipal </t>
  </si>
  <si>
    <t>Lapa/Santa Teresa/Escadaria Selarón</t>
  </si>
  <si>
    <t>BioParque do Rio</t>
  </si>
  <si>
    <t>CORCOVADO</t>
  </si>
  <si>
    <t>JDBOTANICO</t>
  </si>
  <si>
    <t>MUSEU</t>
  </si>
  <si>
    <t>LAGOA</t>
  </si>
  <si>
    <t>MOSTEIRO</t>
  </si>
  <si>
    <t>PACUCAR</t>
  </si>
  <si>
    <t>AQUARIO</t>
  </si>
  <si>
    <t>TEATRO</t>
  </si>
  <si>
    <t>STTERESA</t>
  </si>
  <si>
    <t>FORTCOP</t>
  </si>
  <si>
    <t>ZOORIO</t>
  </si>
  <si>
    <t>MARACANA</t>
  </si>
  <si>
    <t>SPESSO</t>
  </si>
  <si>
    <t>PONTO</t>
  </si>
  <si>
    <t>REFERENCIA</t>
  </si>
  <si>
    <t>TEMPO ESTIMADO VISITA</t>
  </si>
  <si>
    <t>CUSTO VISITA</t>
  </si>
  <si>
    <t>Hotel Atlantic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</si>
</sst>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KievitSlab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2"/>
    <xf numFmtId="0" fontId="3" fillId="0" borderId="0" xfId="0" applyFont="1"/>
    <xf numFmtId="2" fontId="0" fillId="0" borderId="0" xfId="0" applyNumberFormat="1"/>
    <xf numFmtId="49" fontId="0" fillId="0" borderId="0" xfId="0" applyNumberFormat="1"/>
    <xf numFmtId="0" fontId="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brj.eleventicke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CF56-8AAF-4B38-81E0-9F9BF1E2B298}">
  <dimension ref="A1:G17"/>
  <sheetViews>
    <sheetView workbookViewId="0">
      <selection activeCell="C2" sqref="C2:D15"/>
    </sheetView>
  </sheetViews>
  <sheetFormatPr defaultRowHeight="14.4"/>
  <cols>
    <col min="1" max="1" width="34.6640625" customWidth="1"/>
    <col min="2" max="2" width="39.5546875" customWidth="1"/>
    <col min="3" max="3" width="10.33203125" style="1" bestFit="1" customWidth="1"/>
    <col min="4" max="4" width="12.33203125" customWidth="1"/>
  </cols>
  <sheetData>
    <row r="1" spans="1:7" s="4" customFormat="1">
      <c r="A1" s="4" t="s">
        <v>2</v>
      </c>
      <c r="B1" s="4" t="s">
        <v>3</v>
      </c>
      <c r="C1" s="2" t="s">
        <v>1</v>
      </c>
      <c r="D1" s="4" t="s">
        <v>5</v>
      </c>
      <c r="E1" s="4" t="s">
        <v>28</v>
      </c>
      <c r="F1" s="4" t="s">
        <v>4</v>
      </c>
    </row>
    <row r="2" spans="1:7">
      <c r="A2" t="s">
        <v>0</v>
      </c>
      <c r="B2" s="3" t="s">
        <v>29</v>
      </c>
      <c r="C2" s="1">
        <v>128</v>
      </c>
      <c r="D2">
        <f>(120+60)/2</f>
        <v>90</v>
      </c>
      <c r="E2" s="7">
        <v>0.99</v>
      </c>
      <c r="F2" s="7">
        <f>1-E2</f>
        <v>1.0000000000000009E-2</v>
      </c>
    </row>
    <row r="3" spans="1:7">
      <c r="A3" t="s">
        <v>7</v>
      </c>
      <c r="B3" t="s">
        <v>30</v>
      </c>
      <c r="C3" s="1">
        <v>23</v>
      </c>
      <c r="D3">
        <v>105</v>
      </c>
      <c r="E3">
        <v>0.8</v>
      </c>
      <c r="F3" s="7">
        <f t="shared" ref="F3:F15" si="0">1-E3</f>
        <v>0.19999999999999996</v>
      </c>
      <c r="G3" s="5"/>
    </row>
    <row r="4" spans="1:7">
      <c r="A4" t="s">
        <v>8</v>
      </c>
      <c r="B4" t="s">
        <v>31</v>
      </c>
      <c r="C4" s="1">
        <v>0</v>
      </c>
      <c r="D4">
        <f>(120+180)/2</f>
        <v>150</v>
      </c>
      <c r="E4">
        <v>0.75</v>
      </c>
      <c r="F4" s="7">
        <f t="shared" si="0"/>
        <v>0.25</v>
      </c>
    </row>
    <row r="5" spans="1:7">
      <c r="A5" t="s">
        <v>9</v>
      </c>
      <c r="B5" t="s">
        <v>32</v>
      </c>
      <c r="C5" s="1">
        <v>30</v>
      </c>
      <c r="D5">
        <f>D2</f>
        <v>90</v>
      </c>
      <c r="E5">
        <v>0.85</v>
      </c>
      <c r="F5" s="7">
        <f t="shared" si="0"/>
        <v>0.15000000000000002</v>
      </c>
    </row>
    <row r="6" spans="1:7">
      <c r="A6" t="s">
        <v>10</v>
      </c>
      <c r="B6" t="s">
        <v>33</v>
      </c>
      <c r="C6" s="1">
        <v>195</v>
      </c>
      <c r="D6">
        <v>60</v>
      </c>
      <c r="E6">
        <v>0.95</v>
      </c>
      <c r="F6" s="7">
        <f t="shared" si="0"/>
        <v>5.0000000000000044E-2</v>
      </c>
    </row>
    <row r="7" spans="1:7">
      <c r="A7" t="s">
        <v>6</v>
      </c>
      <c r="B7" t="s">
        <v>34</v>
      </c>
      <c r="C7" s="1">
        <v>120</v>
      </c>
      <c r="D7">
        <v>90</v>
      </c>
      <c r="E7">
        <v>0.7</v>
      </c>
      <c r="F7" s="7">
        <f t="shared" si="0"/>
        <v>0.30000000000000004</v>
      </c>
    </row>
    <row r="8" spans="1:7">
      <c r="A8" t="s">
        <v>11</v>
      </c>
      <c r="B8" t="s">
        <v>35</v>
      </c>
      <c r="C8" s="1">
        <v>20</v>
      </c>
      <c r="D8">
        <v>90</v>
      </c>
      <c r="E8">
        <v>0.85</v>
      </c>
      <c r="F8" s="7">
        <f t="shared" si="0"/>
        <v>0.15000000000000002</v>
      </c>
    </row>
    <row r="9" spans="1:7">
      <c r="A9" t="s">
        <v>12</v>
      </c>
      <c r="B9" t="s">
        <v>36</v>
      </c>
      <c r="C9" s="1">
        <v>30</v>
      </c>
      <c r="D9">
        <v>50</v>
      </c>
      <c r="E9">
        <v>0.8</v>
      </c>
      <c r="F9" s="7">
        <f t="shared" si="0"/>
        <v>0.19999999999999996</v>
      </c>
    </row>
    <row r="10" spans="1:7">
      <c r="A10" t="s">
        <v>13</v>
      </c>
      <c r="B10" t="s">
        <v>37</v>
      </c>
      <c r="C10" s="1">
        <v>0</v>
      </c>
      <c r="D10">
        <v>30</v>
      </c>
      <c r="E10">
        <v>0.7</v>
      </c>
      <c r="F10" s="7">
        <f t="shared" si="0"/>
        <v>0.30000000000000004</v>
      </c>
    </row>
    <row r="11" spans="1:7">
      <c r="A11" t="s">
        <v>24</v>
      </c>
      <c r="B11" s="6" t="s">
        <v>38</v>
      </c>
      <c r="C11" s="1">
        <v>20</v>
      </c>
      <c r="D11">
        <v>120</v>
      </c>
      <c r="E11">
        <v>0.9</v>
      </c>
      <c r="F11" s="7">
        <f t="shared" si="0"/>
        <v>9.9999999999999978E-2</v>
      </c>
    </row>
    <row r="12" spans="1:7">
      <c r="A12" t="s">
        <v>14</v>
      </c>
      <c r="B12" t="s">
        <v>39</v>
      </c>
      <c r="C12" s="1">
        <v>6</v>
      </c>
      <c r="D12">
        <v>60</v>
      </c>
      <c r="E12">
        <v>0.8</v>
      </c>
      <c r="F12" s="7">
        <f t="shared" si="0"/>
        <v>0.19999999999999996</v>
      </c>
    </row>
    <row r="13" spans="1:7">
      <c r="A13" t="s">
        <v>26</v>
      </c>
      <c r="B13" t="s">
        <v>40</v>
      </c>
      <c r="C13" s="1">
        <v>51.6</v>
      </c>
      <c r="D13">
        <v>150</v>
      </c>
      <c r="E13">
        <v>0.7</v>
      </c>
      <c r="F13" s="7">
        <f t="shared" si="0"/>
        <v>0.30000000000000004</v>
      </c>
    </row>
    <row r="14" spans="1:7">
      <c r="A14" t="s">
        <v>41</v>
      </c>
      <c r="B14" t="s">
        <v>42</v>
      </c>
      <c r="C14" s="1">
        <v>75</v>
      </c>
      <c r="D14">
        <v>45</v>
      </c>
      <c r="E14">
        <v>0.75</v>
      </c>
      <c r="F14" s="7">
        <f t="shared" si="0"/>
        <v>0.25</v>
      </c>
    </row>
    <row r="15" spans="1:7">
      <c r="A15" t="s">
        <v>59</v>
      </c>
      <c r="B15" t="s">
        <v>57</v>
      </c>
      <c r="C15" s="1">
        <v>67.900000000000006</v>
      </c>
      <c r="D15" t="s">
        <v>58</v>
      </c>
      <c r="E15" s="7">
        <v>0.99</v>
      </c>
      <c r="F15" s="7">
        <f t="shared" si="0"/>
        <v>1.0000000000000009E-2</v>
      </c>
    </row>
    <row r="17" spans="4:4">
      <c r="D17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0680-B796-4D36-B991-FBFC8EB1A623}">
  <dimension ref="A1:I16"/>
  <sheetViews>
    <sheetView workbookViewId="0">
      <selection activeCell="I8" sqref="I8"/>
    </sheetView>
  </sheetViews>
  <sheetFormatPr defaultRowHeight="14.4"/>
  <cols>
    <col min="1" max="1" width="11.21875" customWidth="1"/>
    <col min="2" max="2" width="8.88671875" customWidth="1"/>
    <col min="8" max="8" width="35.21875" customWidth="1"/>
    <col min="9" max="9" width="52.5546875" customWidth="1"/>
  </cols>
  <sheetData>
    <row r="1" spans="1:9" ht="46.2" customHeight="1">
      <c r="A1" s="10" t="s">
        <v>46</v>
      </c>
      <c r="B1" s="10"/>
      <c r="C1" s="11" t="s">
        <v>47</v>
      </c>
      <c r="D1" s="11"/>
      <c r="E1" s="11"/>
      <c r="F1" s="11"/>
      <c r="H1" s="13" t="s">
        <v>55</v>
      </c>
      <c r="I1" s="13"/>
    </row>
    <row r="2" spans="1:9">
      <c r="A2" t="s">
        <v>48</v>
      </c>
      <c r="B2" s="1">
        <v>4.3</v>
      </c>
      <c r="C2" s="12" t="s">
        <v>44</v>
      </c>
      <c r="D2" s="12"/>
      <c r="E2" s="12"/>
      <c r="F2" s="12"/>
      <c r="H2" s="9" t="s">
        <v>52</v>
      </c>
      <c r="I2" s="9" t="s">
        <v>53</v>
      </c>
    </row>
    <row r="3" spans="1:9">
      <c r="A3" t="s">
        <v>49</v>
      </c>
      <c r="B3" s="1">
        <v>7.5</v>
      </c>
      <c r="C3" s="12"/>
      <c r="D3" s="12"/>
      <c r="E3" s="12"/>
      <c r="F3" s="12"/>
      <c r="H3" t="s">
        <v>54</v>
      </c>
      <c r="I3" t="s">
        <v>15</v>
      </c>
    </row>
    <row r="4" spans="1:9">
      <c r="H4" t="s">
        <v>7</v>
      </c>
      <c r="I4" s="5" t="s">
        <v>17</v>
      </c>
    </row>
    <row r="5" spans="1:9">
      <c r="A5" t="s">
        <v>50</v>
      </c>
      <c r="H5" t="s">
        <v>8</v>
      </c>
      <c r="I5" t="s">
        <v>16</v>
      </c>
    </row>
    <row r="6" spans="1:9">
      <c r="H6" t="s">
        <v>9</v>
      </c>
      <c r="I6" t="s">
        <v>18</v>
      </c>
    </row>
    <row r="7" spans="1:9">
      <c r="A7" t="s">
        <v>56</v>
      </c>
      <c r="H7" t="s">
        <v>10</v>
      </c>
      <c r="I7" t="s">
        <v>19</v>
      </c>
    </row>
    <row r="8" spans="1:9">
      <c r="H8" t="s">
        <v>6</v>
      </c>
      <c r="I8" t="s">
        <v>21</v>
      </c>
    </row>
    <row r="9" spans="1:9">
      <c r="H9" t="s">
        <v>11</v>
      </c>
      <c r="I9" t="s">
        <v>20</v>
      </c>
    </row>
    <row r="10" spans="1:9">
      <c r="H10" t="s">
        <v>12</v>
      </c>
      <c r="I10" t="s">
        <v>22</v>
      </c>
    </row>
    <row r="11" spans="1:9">
      <c r="H11" t="s">
        <v>13</v>
      </c>
      <c r="I11" t="s">
        <v>45</v>
      </c>
    </row>
    <row r="12" spans="1:9">
      <c r="H12" t="s">
        <v>51</v>
      </c>
      <c r="I12" t="s">
        <v>23</v>
      </c>
    </row>
    <row r="13" spans="1:9">
      <c r="H13" t="s">
        <v>14</v>
      </c>
      <c r="I13" t="s">
        <v>25</v>
      </c>
    </row>
    <row r="14" spans="1:9">
      <c r="H14" t="s">
        <v>26</v>
      </c>
      <c r="I14" t="s">
        <v>27</v>
      </c>
    </row>
    <row r="15" spans="1:9">
      <c r="H15" t="s">
        <v>41</v>
      </c>
      <c r="I15" t="s">
        <v>43</v>
      </c>
    </row>
    <row r="16" spans="1:9">
      <c r="H16" t="s">
        <v>59</v>
      </c>
      <c r="I16" t="s">
        <v>60</v>
      </c>
    </row>
  </sheetData>
  <mergeCells count="4">
    <mergeCell ref="A1:B1"/>
    <mergeCell ref="C1:F1"/>
    <mergeCell ref="C2:F3"/>
    <mergeCell ref="H1:I1"/>
  </mergeCells>
  <hyperlinks>
    <hyperlink ref="I4" r:id="rId1" location="!/home (simulação de compra visita guiada a pé)" xr:uid="{3A72A0D2-A6D6-4A9C-ABCD-27BFAC00758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7688-BE8F-4836-910E-C1B6E16EDF97}">
  <dimension ref="A1:E16"/>
  <sheetViews>
    <sheetView tabSelected="1" workbookViewId="0">
      <selection activeCell="A2" sqref="A2:B16"/>
    </sheetView>
  </sheetViews>
  <sheetFormatPr defaultRowHeight="14.4"/>
  <cols>
    <col min="2" max="3" width="20.44140625" customWidth="1"/>
    <col min="4" max="4" width="13.21875" customWidth="1"/>
    <col min="5" max="5" width="11" customWidth="1"/>
  </cols>
  <sheetData>
    <row r="1" spans="1:5">
      <c r="B1" t="s">
        <v>78</v>
      </c>
      <c r="C1" t="s">
        <v>79</v>
      </c>
      <c r="D1" t="s">
        <v>81</v>
      </c>
      <c r="E1" t="s">
        <v>80</v>
      </c>
    </row>
    <row r="2" spans="1:5">
      <c r="A2">
        <v>1</v>
      </c>
      <c r="B2" t="s">
        <v>9</v>
      </c>
      <c r="C2" t="s">
        <v>67</v>
      </c>
      <c r="D2" s="1">
        <v>30</v>
      </c>
      <c r="E2">
        <f>E3</f>
        <v>90</v>
      </c>
    </row>
    <row r="3" spans="1:5">
      <c r="A3">
        <v>2</v>
      </c>
      <c r="B3" t="s">
        <v>61</v>
      </c>
      <c r="C3" t="s">
        <v>65</v>
      </c>
      <c r="D3" s="1">
        <v>128</v>
      </c>
      <c r="E3">
        <f>(120+60)/2</f>
        <v>90</v>
      </c>
    </row>
    <row r="4" spans="1:5">
      <c r="A4">
        <v>3</v>
      </c>
      <c r="B4" t="s">
        <v>7</v>
      </c>
      <c r="C4" t="s">
        <v>66</v>
      </c>
      <c r="D4" s="1">
        <v>23</v>
      </c>
      <c r="E4">
        <v>105</v>
      </c>
    </row>
    <row r="5" spans="1:5">
      <c r="A5">
        <v>4</v>
      </c>
      <c r="B5" t="s">
        <v>8</v>
      </c>
      <c r="C5" t="s">
        <v>8</v>
      </c>
      <c r="D5" s="1">
        <v>0</v>
      </c>
      <c r="E5">
        <f>(120+180)/2</f>
        <v>150</v>
      </c>
    </row>
    <row r="6" spans="1:5">
      <c r="A6">
        <v>5</v>
      </c>
      <c r="B6" t="s">
        <v>10</v>
      </c>
      <c r="C6" t="s">
        <v>70</v>
      </c>
      <c r="D6" s="1">
        <v>195</v>
      </c>
      <c r="E6">
        <v>60</v>
      </c>
    </row>
    <row r="7" spans="1:5">
      <c r="A7">
        <v>6</v>
      </c>
      <c r="B7" t="s">
        <v>6</v>
      </c>
      <c r="C7" t="s">
        <v>71</v>
      </c>
      <c r="D7" s="1">
        <v>120</v>
      </c>
      <c r="E7">
        <v>90</v>
      </c>
    </row>
    <row r="8" spans="1:5">
      <c r="A8">
        <v>7</v>
      </c>
      <c r="B8" t="s">
        <v>62</v>
      </c>
      <c r="C8" t="s">
        <v>72</v>
      </c>
      <c r="D8" s="1">
        <v>20</v>
      </c>
      <c r="E8">
        <v>90</v>
      </c>
    </row>
    <row r="9" spans="1:5">
      <c r="A9">
        <v>8</v>
      </c>
      <c r="B9" t="s">
        <v>12</v>
      </c>
      <c r="C9" t="s">
        <v>68</v>
      </c>
      <c r="D9" s="1">
        <v>30</v>
      </c>
      <c r="E9">
        <v>50</v>
      </c>
    </row>
    <row r="10" spans="1:5">
      <c r="A10">
        <v>9</v>
      </c>
      <c r="B10" t="s">
        <v>13</v>
      </c>
      <c r="C10" t="s">
        <v>69</v>
      </c>
      <c r="D10" s="1">
        <v>0</v>
      </c>
      <c r="E10">
        <v>30</v>
      </c>
    </row>
    <row r="11" spans="1:5">
      <c r="A11">
        <v>10</v>
      </c>
      <c r="B11" t="s">
        <v>63</v>
      </c>
      <c r="C11" t="s">
        <v>73</v>
      </c>
      <c r="D11" s="1">
        <v>20</v>
      </c>
      <c r="E11">
        <v>120</v>
      </c>
    </row>
    <row r="12" spans="1:5">
      <c r="A12">
        <v>11</v>
      </c>
      <c r="B12" t="s">
        <v>14</v>
      </c>
      <c r="C12" t="s">
        <v>74</v>
      </c>
      <c r="D12" s="1">
        <v>6</v>
      </c>
      <c r="E12">
        <v>60</v>
      </c>
    </row>
    <row r="13" spans="1:5">
      <c r="A13">
        <v>12</v>
      </c>
      <c r="B13" t="s">
        <v>64</v>
      </c>
      <c r="C13" t="s">
        <v>75</v>
      </c>
      <c r="D13" s="1">
        <v>51.6</v>
      </c>
      <c r="E13">
        <v>150</v>
      </c>
    </row>
    <row r="14" spans="1:5">
      <c r="A14">
        <v>13</v>
      </c>
      <c r="B14" t="s">
        <v>41</v>
      </c>
      <c r="C14" t="s">
        <v>76</v>
      </c>
      <c r="D14" s="1">
        <v>75</v>
      </c>
      <c r="E14">
        <v>45</v>
      </c>
    </row>
    <row r="15" spans="1:5">
      <c r="A15">
        <v>14</v>
      </c>
      <c r="B15" t="s">
        <v>59</v>
      </c>
      <c r="C15" t="s">
        <v>77</v>
      </c>
      <c r="D15" s="1">
        <v>67.900000000000006</v>
      </c>
      <c r="E15">
        <v>0</v>
      </c>
    </row>
    <row r="16" spans="1:5">
      <c r="A16">
        <v>15</v>
      </c>
      <c r="B16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Informações pontos</vt:lpstr>
      <vt:lpstr>Referências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Alves Braga</dc:creator>
  <cp:lastModifiedBy>Elis Alves Braga</cp:lastModifiedBy>
  <dcterms:created xsi:type="dcterms:W3CDTF">2024-12-16T22:15:58Z</dcterms:created>
  <dcterms:modified xsi:type="dcterms:W3CDTF">2024-12-18T19:55:11Z</dcterms:modified>
</cp:coreProperties>
</file>